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Cost Projections" sheetId="2" state="visible" r:id="rId2"/>
    <sheet xmlns:r="http://schemas.openxmlformats.org/officeDocument/2006/relationships" name="API Us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2B5C8A"/>
      <sz val="10"/>
    </font>
  </fonts>
  <fills count="7">
    <fill>
      <patternFill/>
    </fill>
    <fill>
      <patternFill patternType="gray125"/>
    </fill>
    <fill>
      <patternFill patternType="solid">
        <fgColor rgb="002B5C8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0F0F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0" pivotButton="0" quotePrefix="0" xfId="0"/>
    <xf numFmtId="164" fontId="3" fillId="3" borderId="1" pivotButton="0" quotePrefix="0" xfId="0"/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  <col width="12" customWidth="1" min="5" max="5"/>
    <col width="35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Service</t>
        </is>
      </c>
      <c r="B1" s="1" t="inlineStr">
        <is>
          <t>Purpose</t>
        </is>
      </c>
      <c r="C1" s="1" t="inlineStr">
        <is>
          <t>Current Tier</t>
        </is>
      </c>
      <c r="D1" s="1" t="inlineStr">
        <is>
          <t>Monthly Cost</t>
        </is>
      </c>
      <c r="E1" s="1" t="inlineStr">
        <is>
          <t>Free Tier?</t>
        </is>
      </c>
      <c r="F1" s="1" t="inlineStr">
        <is>
          <t>Limits (Current Tier)</t>
        </is>
      </c>
      <c r="G1" s="1" t="inlineStr">
        <is>
          <t>Production Tier</t>
        </is>
      </c>
      <c r="H1" s="1" t="inlineStr">
        <is>
          <t>Production Cost</t>
        </is>
      </c>
      <c r="I1" s="1" t="inlineStr">
        <is>
          <t>Open Source?</t>
        </is>
      </c>
    </row>
    <row r="2">
      <c r="A2" s="2" t="inlineStr">
        <is>
          <t>Vercel</t>
        </is>
      </c>
      <c r="B2" s="2" t="inlineStr">
        <is>
          <t>Frontend hosting + API routes</t>
        </is>
      </c>
      <c r="C2" s="2" t="inlineStr">
        <is>
          <t>Pro</t>
        </is>
      </c>
      <c r="D2" s="3" t="n">
        <v>20</v>
      </c>
      <c r="E2" s="4" t="inlineStr">
        <is>
          <t>Yes (Hobby)</t>
        </is>
      </c>
      <c r="F2" s="2" t="inlineStr">
        <is>
          <t>300s functions, 100GB bandwidth, 1TB edge</t>
        </is>
      </c>
      <c r="G2" s="2" t="inlineStr">
        <is>
          <t>Pro</t>
        </is>
      </c>
      <c r="H2" s="5" t="n">
        <v>20</v>
      </c>
      <c r="I2" s="6" t="inlineStr">
        <is>
          <t>No</t>
        </is>
      </c>
    </row>
    <row r="3">
      <c r="A3" s="2" t="inlineStr">
        <is>
          <t>Neon</t>
        </is>
      </c>
      <c r="B3" s="2" t="inlineStr">
        <is>
          <t>PostgreSQL + pgvector</t>
        </is>
      </c>
      <c r="C3" s="2" t="inlineStr">
        <is>
          <t>Free</t>
        </is>
      </c>
      <c r="D3" s="7" t="n">
        <v>0</v>
      </c>
      <c r="E3" s="4" t="inlineStr">
        <is>
          <t>Yes</t>
        </is>
      </c>
      <c r="F3" s="2" t="inlineStr">
        <is>
          <t>0.5GB storage, 190 compute hrs/mo</t>
        </is>
      </c>
      <c r="G3" s="2" t="inlineStr">
        <is>
          <t>Launch ($19/mo)</t>
        </is>
      </c>
      <c r="H3" s="5" t="n">
        <v>19</v>
      </c>
      <c r="I3" s="2" t="inlineStr">
        <is>
          <t>Postgres is OSS</t>
        </is>
      </c>
    </row>
    <row r="4">
      <c r="A4" s="2" t="inlineStr">
        <is>
          <t>Vercel Blob</t>
        </is>
      </c>
      <c r="B4" s="2" t="inlineStr">
        <is>
          <t>Lab PDF storage</t>
        </is>
      </c>
      <c r="C4" s="2" t="inlineStr">
        <is>
          <t>Usage-based</t>
        </is>
      </c>
      <c r="D4" s="7" t="n">
        <v>0</v>
      </c>
      <c r="E4" s="4" t="inlineStr">
        <is>
          <t>Yes (1GB free)</t>
        </is>
      </c>
      <c r="F4" s="2" t="inlineStr">
        <is>
          <t>1GB storage free, then $0.15/GB</t>
        </is>
      </c>
      <c r="G4" s="2" t="inlineStr">
        <is>
          <t>Same</t>
        </is>
      </c>
      <c r="H4" s="5" t="n">
        <v>0.15</v>
      </c>
      <c r="I4" s="6" t="inlineStr">
        <is>
          <t>No</t>
        </is>
      </c>
    </row>
    <row r="5">
      <c r="A5" s="2" t="inlineStr">
        <is>
          <t>Anthropic API</t>
        </is>
      </c>
      <c r="B5" s="2" t="inlineStr">
        <is>
          <t>Protocol generation (Claude)</t>
        </is>
      </c>
      <c r="C5" s="2" t="inlineStr">
        <is>
          <t>Pay-per-use</t>
        </is>
      </c>
      <c r="D5" s="7" t="n">
        <v>0</v>
      </c>
      <c r="E5" s="8" t="inlineStr">
        <is>
          <t>No</t>
        </is>
      </c>
      <c r="F5" s="2" t="inlineStr">
        <is>
          <t>Pay per token: ~$0.10-0.30/protocol</t>
        </is>
      </c>
      <c r="G5" s="2" t="inlineStr">
        <is>
          <t>Same</t>
        </is>
      </c>
      <c r="H5" s="5" t="n">
        <v>0</v>
      </c>
      <c r="I5" s="6" t="inlineStr">
        <is>
          <t>No</t>
        </is>
      </c>
    </row>
    <row r="6">
      <c r="A6" s="2" t="inlineStr">
        <is>
          <t>GitHub</t>
        </is>
      </c>
      <c r="B6" s="2" t="inlineStr">
        <is>
          <t>Code repository</t>
        </is>
      </c>
      <c r="C6" s="2" t="inlineStr">
        <is>
          <t>Free</t>
        </is>
      </c>
      <c r="D6" s="7" t="n">
        <v>0</v>
      </c>
      <c r="E6" s="4" t="inlineStr">
        <is>
          <t>Yes</t>
        </is>
      </c>
      <c r="F6" s="2" t="inlineStr">
        <is>
          <t>Unlimited public/private repos</t>
        </is>
      </c>
      <c r="G6" s="2" t="inlineStr">
        <is>
          <t>Team ($4/user)</t>
        </is>
      </c>
      <c r="H6" s="5" t="n">
        <v>0</v>
      </c>
      <c r="I6" s="2" t="inlineStr">
        <is>
          <t>Git is OSS</t>
        </is>
      </c>
    </row>
    <row r="7">
      <c r="A7" s="2" t="inlineStr">
        <is>
          <t>Next.js</t>
        </is>
      </c>
      <c r="B7" s="2" t="inlineStr">
        <is>
          <t>Web framework</t>
        </is>
      </c>
      <c r="C7" s="2" t="inlineStr">
        <is>
          <t>Open Source</t>
        </is>
      </c>
      <c r="D7" s="7" t="n">
        <v>0</v>
      </c>
      <c r="E7" s="2" t="inlineStr">
        <is>
          <t>N/A</t>
        </is>
      </c>
      <c r="F7" s="2" t="inlineStr">
        <is>
          <t>No limits</t>
        </is>
      </c>
      <c r="G7" s="2" t="inlineStr">
        <is>
          <t>N/A</t>
        </is>
      </c>
      <c r="H7" s="5" t="n">
        <v>0</v>
      </c>
      <c r="I7" s="4" t="inlineStr">
        <is>
          <t>Yes (MIT)</t>
        </is>
      </c>
    </row>
    <row r="8">
      <c r="A8" s="2" t="inlineStr">
        <is>
          <t>PostgreSQL</t>
        </is>
      </c>
      <c r="B8" s="2" t="inlineStr">
        <is>
          <t>Database engine</t>
        </is>
      </c>
      <c r="C8" s="2" t="inlineStr">
        <is>
          <t>Open Source</t>
        </is>
      </c>
      <c r="D8" s="7" t="n">
        <v>0</v>
      </c>
      <c r="E8" s="2" t="inlineStr">
        <is>
          <t>N/A</t>
        </is>
      </c>
      <c r="F8" s="2" t="inlineStr">
        <is>
          <t>No limits</t>
        </is>
      </c>
      <c r="G8" s="2" t="inlineStr">
        <is>
          <t>N/A</t>
        </is>
      </c>
      <c r="H8" s="5" t="n">
        <v>0</v>
      </c>
      <c r="I8" s="4" t="inlineStr">
        <is>
          <t>Yes (PostgreSQL)</t>
        </is>
      </c>
    </row>
    <row r="9">
      <c r="A9" s="2" t="inlineStr">
        <is>
          <t>pgvector</t>
        </is>
      </c>
      <c r="B9" s="2" t="inlineStr">
        <is>
          <t>Vector embeddings</t>
        </is>
      </c>
      <c r="C9" s="2" t="inlineStr">
        <is>
          <t>Open Source</t>
        </is>
      </c>
      <c r="D9" s="7" t="n">
        <v>0</v>
      </c>
      <c r="E9" s="2" t="inlineStr">
        <is>
          <t>N/A</t>
        </is>
      </c>
      <c r="F9" s="2" t="inlineStr">
        <is>
          <t>No limits</t>
        </is>
      </c>
      <c r="G9" s="2" t="inlineStr">
        <is>
          <t>N/A</t>
        </is>
      </c>
      <c r="H9" s="5" t="n">
        <v>0</v>
      </c>
      <c r="I9" s="4" t="inlineStr">
        <is>
          <t>Yes (PostgreSQL)</t>
        </is>
      </c>
    </row>
    <row r="10">
      <c r="A10" s="2" t="inlineStr">
        <is>
          <t>Auth.js</t>
        </is>
      </c>
      <c r="B10" s="2" t="inlineStr">
        <is>
          <t>Authentication</t>
        </is>
      </c>
      <c r="C10" s="2" t="inlineStr">
        <is>
          <t>Open Source</t>
        </is>
      </c>
      <c r="D10" s="7" t="n">
        <v>0</v>
      </c>
      <c r="E10" s="2" t="inlineStr">
        <is>
          <t>N/A</t>
        </is>
      </c>
      <c r="F10" s="2" t="inlineStr">
        <is>
          <t>No limits</t>
        </is>
      </c>
      <c r="G10" s="2" t="inlineStr">
        <is>
          <t>N/A</t>
        </is>
      </c>
      <c r="H10" s="5" t="n">
        <v>0</v>
      </c>
      <c r="I10" s="4" t="inlineStr">
        <is>
          <t>Yes (ISC)</t>
        </is>
      </c>
    </row>
    <row r="11">
      <c r="A11" s="2" t="inlineStr">
        <is>
          <t>Tailwind CSS</t>
        </is>
      </c>
      <c r="B11" s="2" t="inlineStr">
        <is>
          <t>UI styling</t>
        </is>
      </c>
      <c r="C11" s="2" t="inlineStr">
        <is>
          <t>Open Source</t>
        </is>
      </c>
      <c r="D11" s="7" t="n">
        <v>0</v>
      </c>
      <c r="E11" s="2" t="inlineStr">
        <is>
          <t>N/A</t>
        </is>
      </c>
      <c r="F11" s="2" t="inlineStr">
        <is>
          <t>No limits</t>
        </is>
      </c>
      <c r="G11" s="2" t="inlineStr">
        <is>
          <t>N/A</t>
        </is>
      </c>
      <c r="H11" s="5" t="n">
        <v>0</v>
      </c>
      <c r="I11" s="4" t="inlineStr">
        <is>
          <t>Yes (MIT)</t>
        </is>
      </c>
    </row>
    <row r="12">
      <c r="A12" s="9" t="inlineStr">
        <is>
          <t>TOTAL MONTHLY (fixed)</t>
        </is>
      </c>
      <c r="D12" s="10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Phase</t>
        </is>
      </c>
      <c r="B1" s="1" t="inlineStr">
        <is>
          <t>Users</t>
        </is>
      </c>
      <c r="C1" s="1" t="inlineStr">
        <is>
          <t>Protocols/Mo</t>
        </is>
      </c>
      <c r="D1" s="1" t="inlineStr">
        <is>
          <t>API Cost/Mo</t>
        </is>
      </c>
      <c r="E1" s="1" t="inlineStr">
        <is>
          <t>Hosting/Mo</t>
        </is>
      </c>
      <c r="F1" s="1" t="inlineStr">
        <is>
          <t>Storage/Mo</t>
        </is>
      </c>
      <c r="G1" s="1" t="inlineStr">
        <is>
          <t>Total/Mo</t>
        </is>
      </c>
      <c r="H1" s="1" t="inlineStr">
        <is>
          <t>Per-User Cost</t>
        </is>
      </c>
    </row>
    <row r="2">
      <c r="A2" s="11" t="inlineStr">
        <is>
          <t>Alpha (you + Dr. Laura)</t>
        </is>
      </c>
      <c r="B2" s="11" t="n">
        <v>2</v>
      </c>
      <c r="C2" s="11" t="n">
        <v>20</v>
      </c>
      <c r="D2" s="12">
        <f>C2*0.20</f>
        <v/>
      </c>
      <c r="E2" s="12">
        <f>Services!D1+19</f>
        <v/>
      </c>
      <c r="F2" s="12" t="n">
        <v>0</v>
      </c>
      <c r="G2" s="12">
        <f>SUM(D2:F2)</f>
        <v/>
      </c>
      <c r="H2" s="12">
        <f>G2/B2</f>
        <v/>
      </c>
    </row>
    <row r="3">
      <c r="A3" s="11" t="inlineStr">
        <is>
          <t>Beta (5-7 mentees)</t>
        </is>
      </c>
      <c r="B3" s="11" t="n">
        <v>7</v>
      </c>
      <c r="C3" s="11" t="n">
        <v>70</v>
      </c>
      <c r="D3" s="12">
        <f>C3*0.20</f>
        <v/>
      </c>
      <c r="E3" s="12" t="n">
        <v>39</v>
      </c>
      <c r="F3" s="12" t="n">
        <v>0.5</v>
      </c>
      <c r="G3" s="12">
        <f>SUM(D3:F3)</f>
        <v/>
      </c>
      <c r="H3" s="12">
        <f>G3/B3</f>
        <v/>
      </c>
    </row>
    <row r="4">
      <c r="A4" s="11" t="inlineStr">
        <is>
          <t>Launch (50 practitioners)</t>
        </is>
      </c>
      <c r="B4" s="11" t="n">
        <v>50</v>
      </c>
      <c r="C4" s="11" t="n">
        <v>500</v>
      </c>
      <c r="D4" s="12">
        <f>C4*0.20</f>
        <v/>
      </c>
      <c r="E4" s="12" t="n">
        <v>39</v>
      </c>
      <c r="F4" s="12" t="n">
        <v>2</v>
      </c>
      <c r="G4" s="12">
        <f>SUM(D4:F4)</f>
        <v/>
      </c>
      <c r="H4" s="12">
        <f>G4/B4</f>
        <v/>
      </c>
    </row>
    <row r="5">
      <c r="A5" s="11" t="inlineStr">
        <is>
          <t>Scale (250 practitioners)</t>
        </is>
      </c>
      <c r="B5" s="11" t="n">
        <v>250</v>
      </c>
      <c r="C5" s="11" t="n">
        <v>2500</v>
      </c>
      <c r="D5" s="12">
        <f>C5*0.20</f>
        <v/>
      </c>
      <c r="E5" s="12" t="n">
        <v>59</v>
      </c>
      <c r="F5" s="12" t="n">
        <v>10</v>
      </c>
      <c r="G5" s="12">
        <f>SUM(D5:F5)</f>
        <v/>
      </c>
      <c r="H5" s="12">
        <f>G5/B5</f>
        <v/>
      </c>
    </row>
    <row r="6">
      <c r="A6" s="11" t="inlineStr">
        <is>
          <t>Target (1,000 practitioners)</t>
        </is>
      </c>
      <c r="B6" s="11" t="n">
        <v>1000</v>
      </c>
      <c r="C6" s="11" t="n">
        <v>10000</v>
      </c>
      <c r="D6" s="12">
        <f>C6*0.20</f>
        <v/>
      </c>
      <c r="E6" s="12" t="n">
        <v>99</v>
      </c>
      <c r="F6" s="12" t="n">
        <v>40</v>
      </c>
      <c r="G6" s="12">
        <f>SUM(D6:F6)</f>
        <v/>
      </c>
      <c r="H6" s="12">
        <f>G6/B6</f>
        <v/>
      </c>
    </row>
    <row r="8">
      <c r="A8" s="13" t="inlineStr">
        <is>
          <t>Assumptions:</t>
        </is>
      </c>
    </row>
    <row r="9">
      <c r="A9" s="14" t="inlineStr">
        <is>
          <t>API cost: ~$0.20 per protocol generation (Claude Sonnet)</t>
        </is>
      </c>
    </row>
    <row r="10">
      <c r="A10" s="14" t="inlineStr">
        <is>
          <t>10 protocols/practitioner/month average</t>
        </is>
      </c>
    </row>
    <row r="11">
      <c r="A11" s="14" t="inlineStr">
        <is>
          <t>Hosting: Vercel Pro ($20) + Neon ($19) base, scales with usage</t>
        </is>
      </c>
    </row>
    <row r="12">
      <c r="A12" s="15" t="inlineStr">
        <is>
          <t>Revenue at $99/mo: 1,000 users = $99,000/mo vs ~$2,139 costs = 97.8% margin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30" customWidth="1" min="5" max="5"/>
  </cols>
  <sheetData>
    <row r="1">
      <c r="A1" s="16" t="inlineStr">
        <is>
          <t>Date</t>
        </is>
      </c>
      <c r="B1" s="16" t="inlineStr">
        <is>
          <t>Protocols Generated</t>
        </is>
      </c>
      <c r="C1" s="16" t="inlineStr">
        <is>
          <t>Tokens Used</t>
        </is>
      </c>
      <c r="D1" s="16" t="inlineStr">
        <is>
          <t>API Cost</t>
        </is>
      </c>
      <c r="E1" s="16" t="inlineStr">
        <is>
          <t>Notes</t>
        </is>
      </c>
    </row>
    <row r="2">
      <c r="A2" s="14" t="inlineStr">
        <is>
          <t>2026-04-19</t>
        </is>
      </c>
      <c r="B2" s="14" t="n">
        <v>0</v>
      </c>
      <c r="C2" s="14" t="n">
        <v>0</v>
      </c>
      <c r="D2" s="17" t="n">
        <v>0</v>
      </c>
      <c r="E2" s="14" t="inlineStr">
        <is>
          <t>Alpha testing begins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2026-04-20T00:43:29Z</dcterms:created>
  <dcterms:modified xmlns:dcterms="http://purl.org/dc/terms/" xmlns:xsi="http://www.w3.org/2001/XMLSchema-instance" xsi:type="dcterms:W3CDTF">2026-04-20T00:43:29Z</dcterms:modified>
</cp:coreProperties>
</file>